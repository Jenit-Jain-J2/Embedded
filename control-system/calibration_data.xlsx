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E:\Work\Embedded\control-system\"/>
    </mc:Choice>
  </mc:AlternateContent>
  <xr:revisionPtr revIDLastSave="0" documentId="13_ncr:1_{DA52DCAC-FDBB-4025-A4D8-CB841D87C781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Sheet1" sheetId="1" r:id="rId1"/>
    <sheet name="Sheet3" sheetId="3" r:id="rId2"/>
    <sheet name="Sheet4" sheetId="4" r:id="rId3"/>
    <sheet name="Sheet6" sheetId="6" r:id="rId4"/>
    <sheet name="Sheet5" sheetId="5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6" l="1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" i="6"/>
  <c r="M22" i="6"/>
  <c r="L22" i="6"/>
  <c r="G22" i="6"/>
  <c r="F22" i="6"/>
  <c r="M21" i="6"/>
  <c r="L21" i="6"/>
  <c r="G21" i="6"/>
  <c r="F21" i="6"/>
  <c r="M20" i="6"/>
  <c r="L20" i="6"/>
  <c r="G20" i="6"/>
  <c r="F20" i="6"/>
  <c r="M19" i="6"/>
  <c r="L19" i="6"/>
  <c r="G19" i="6"/>
  <c r="F19" i="6"/>
  <c r="M18" i="6"/>
  <c r="L18" i="6"/>
  <c r="G18" i="6"/>
  <c r="F18" i="6"/>
  <c r="M17" i="6"/>
  <c r="L17" i="6"/>
  <c r="G17" i="6"/>
  <c r="F17" i="6"/>
  <c r="M16" i="6"/>
  <c r="L16" i="6"/>
  <c r="G16" i="6"/>
  <c r="F16" i="6"/>
  <c r="M15" i="6"/>
  <c r="L15" i="6"/>
  <c r="G15" i="6"/>
  <c r="F15" i="6"/>
  <c r="M14" i="6"/>
  <c r="L14" i="6"/>
  <c r="G14" i="6"/>
  <c r="F14" i="6"/>
  <c r="M13" i="6"/>
  <c r="L13" i="6"/>
  <c r="G13" i="6"/>
  <c r="F13" i="6"/>
  <c r="M12" i="6"/>
  <c r="L12" i="6"/>
  <c r="G12" i="6"/>
  <c r="F12" i="6"/>
  <c r="M11" i="6"/>
  <c r="L11" i="6"/>
  <c r="G11" i="6"/>
  <c r="F11" i="6"/>
  <c r="M10" i="6"/>
  <c r="L10" i="6"/>
  <c r="G10" i="6"/>
  <c r="F10" i="6"/>
  <c r="M9" i="6"/>
  <c r="L9" i="6"/>
  <c r="G9" i="6"/>
  <c r="F9" i="6"/>
  <c r="M8" i="6"/>
  <c r="L8" i="6"/>
  <c r="G8" i="6"/>
  <c r="F8" i="6"/>
  <c r="M7" i="6"/>
  <c r="L7" i="6"/>
  <c r="G7" i="6"/>
  <c r="F7" i="6"/>
  <c r="M6" i="6"/>
  <c r="L6" i="6"/>
  <c r="G6" i="6"/>
  <c r="F6" i="6"/>
  <c r="M5" i="6"/>
  <c r="L5" i="6"/>
  <c r="G5" i="6"/>
  <c r="F5" i="6"/>
  <c r="M4" i="6"/>
  <c r="L4" i="6"/>
  <c r="G4" i="6"/>
  <c r="F4" i="6"/>
  <c r="M3" i="6"/>
  <c r="L3" i="6"/>
  <c r="G3" i="6"/>
  <c r="F3" i="6"/>
  <c r="M2" i="6"/>
  <c r="L2" i="6"/>
  <c r="G2" i="6"/>
  <c r="F2" i="6"/>
  <c r="F2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" i="4"/>
  <c r="K22" i="4"/>
  <c r="K21" i="4"/>
  <c r="F21" i="4"/>
  <c r="K20" i="4"/>
  <c r="F20" i="4"/>
  <c r="K19" i="4"/>
  <c r="F19" i="4"/>
  <c r="K18" i="4"/>
  <c r="F18" i="4"/>
  <c r="K17" i="4"/>
  <c r="F17" i="4"/>
  <c r="K16" i="4"/>
  <c r="F16" i="4"/>
  <c r="K15" i="4"/>
  <c r="F15" i="4"/>
  <c r="K14" i="4"/>
  <c r="F14" i="4"/>
  <c r="K13" i="4"/>
  <c r="F13" i="4"/>
  <c r="K12" i="4"/>
  <c r="F12" i="4"/>
  <c r="K11" i="4"/>
  <c r="F11" i="4"/>
  <c r="K10" i="4"/>
  <c r="F10" i="4"/>
  <c r="K9" i="4"/>
  <c r="F9" i="4"/>
  <c r="K8" i="4"/>
  <c r="F8" i="4"/>
  <c r="K7" i="4"/>
  <c r="F7" i="4"/>
  <c r="K6" i="4"/>
  <c r="F6" i="4"/>
  <c r="K5" i="4"/>
  <c r="F5" i="4"/>
  <c r="K4" i="4"/>
  <c r="F4" i="4"/>
  <c r="K3" i="4"/>
  <c r="F3" i="4"/>
  <c r="K2" i="4"/>
  <c r="F2" i="4"/>
  <c r="H21" i="3"/>
  <c r="D21" i="3"/>
  <c r="H20" i="3"/>
  <c r="D20" i="3"/>
  <c r="H19" i="3"/>
  <c r="D19" i="3"/>
  <c r="H18" i="3"/>
  <c r="D18" i="3"/>
  <c r="H17" i="3"/>
  <c r="D17" i="3"/>
  <c r="H16" i="3"/>
  <c r="D16" i="3"/>
  <c r="H15" i="3"/>
  <c r="D15" i="3"/>
  <c r="H14" i="3"/>
  <c r="D14" i="3"/>
  <c r="H13" i="3"/>
  <c r="D13" i="3"/>
  <c r="H12" i="3"/>
  <c r="D12" i="3"/>
  <c r="H11" i="3"/>
  <c r="D11" i="3"/>
  <c r="H10" i="3"/>
  <c r="D10" i="3"/>
  <c r="H9" i="3"/>
  <c r="D9" i="3"/>
  <c r="H8" i="3"/>
  <c r="D8" i="3"/>
  <c r="H7" i="3"/>
  <c r="D7" i="3"/>
  <c r="H6" i="3"/>
  <c r="D6" i="3"/>
  <c r="H5" i="3"/>
  <c r="D5" i="3"/>
  <c r="H4" i="3"/>
  <c r="D4" i="3"/>
  <c r="H3" i="3"/>
  <c r="D3" i="3"/>
  <c r="H2" i="3"/>
  <c r="D2" i="3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" i="1"/>
</calcChain>
</file>

<file path=xl/sharedStrings.xml><?xml version="1.0" encoding="utf-8"?>
<sst xmlns="http://schemas.openxmlformats.org/spreadsheetml/2006/main" count="49" uniqueCount="12">
  <si>
    <t>Vset+</t>
  </si>
  <si>
    <t>Vmon+</t>
  </si>
  <si>
    <t>Imon+</t>
  </si>
  <si>
    <t>R+</t>
  </si>
  <si>
    <t>Vset-</t>
  </si>
  <si>
    <t>Vmon-</t>
  </si>
  <si>
    <t>Imon-</t>
  </si>
  <si>
    <t>R-</t>
  </si>
  <si>
    <t>Vmm-</t>
  </si>
  <si>
    <t>Vmm+</t>
  </si>
  <si>
    <t>Vmm-Vmon</t>
  </si>
  <si>
    <t>Vmonc+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</si>
</sst>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workbookViewId="0">
      <selection activeCell="D33" sqref="D33"/>
    </sheetView>
  </sheetViews>
  <sheetFormatPr defaultRowHeight="15" x14ac:dyDescent="0.25"/>
  <cols>
    <col min="1" max="1" width="12.28515625" customWidth="1"/>
    <col min="2" max="2" width="14.28515625" customWidth="1"/>
    <col min="3" max="3" width="13.5703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100</v>
      </c>
      <c r="B2">
        <v>99.01</v>
      </c>
      <c r="C2">
        <v>5.25</v>
      </c>
      <c r="D2">
        <f>B2/C2</f>
        <v>18.859047619047619</v>
      </c>
      <c r="E2">
        <v>100</v>
      </c>
      <c r="F2">
        <v>103.23</v>
      </c>
      <c r="G2">
        <v>5.31</v>
      </c>
      <c r="H2">
        <f>F2/G2</f>
        <v>19.440677966101696</v>
      </c>
    </row>
    <row r="3" spans="1:8" x14ac:dyDescent="0.25">
      <c r="A3">
        <v>200</v>
      </c>
      <c r="B3">
        <v>197.56</v>
      </c>
      <c r="C3">
        <v>10.62</v>
      </c>
      <c r="D3">
        <f t="shared" ref="D3:D21" si="0">B3/C3</f>
        <v>18.602636534839927</v>
      </c>
      <c r="E3">
        <v>200</v>
      </c>
      <c r="F3">
        <v>203.02</v>
      </c>
      <c r="G3">
        <v>10.88</v>
      </c>
      <c r="H3">
        <f t="shared" ref="H3:H21" si="1">F3/G3</f>
        <v>18.659926470588236</v>
      </c>
    </row>
    <row r="4" spans="1:8" x14ac:dyDescent="0.25">
      <c r="A4">
        <v>300</v>
      </c>
      <c r="B4">
        <v>297.95999999999998</v>
      </c>
      <c r="C4">
        <v>16.079999999999998</v>
      </c>
      <c r="D4">
        <f t="shared" si="0"/>
        <v>18.529850746268657</v>
      </c>
      <c r="E4">
        <v>300</v>
      </c>
      <c r="F4">
        <v>306.02</v>
      </c>
      <c r="G4">
        <v>16.54</v>
      </c>
      <c r="H4">
        <f t="shared" si="1"/>
        <v>18.501813784764209</v>
      </c>
    </row>
    <row r="5" spans="1:8" x14ac:dyDescent="0.25">
      <c r="A5">
        <v>400</v>
      </c>
      <c r="B5">
        <v>399.51</v>
      </c>
      <c r="C5">
        <v>21.61</v>
      </c>
      <c r="D5">
        <f t="shared" si="0"/>
        <v>18.487274409995372</v>
      </c>
      <c r="E5">
        <v>400</v>
      </c>
      <c r="F5">
        <v>406.49</v>
      </c>
      <c r="G5">
        <v>21.93</v>
      </c>
      <c r="H5">
        <f t="shared" si="1"/>
        <v>18.535795713634293</v>
      </c>
    </row>
    <row r="6" spans="1:8" x14ac:dyDescent="0.25">
      <c r="A6">
        <v>500</v>
      </c>
      <c r="B6">
        <v>498.52</v>
      </c>
      <c r="C6">
        <v>29.99</v>
      </c>
      <c r="D6">
        <f t="shared" si="0"/>
        <v>16.622874291430477</v>
      </c>
      <c r="E6">
        <v>500</v>
      </c>
      <c r="F6">
        <v>504.67</v>
      </c>
      <c r="G6">
        <v>27.4</v>
      </c>
      <c r="H6">
        <f t="shared" si="1"/>
        <v>18.418613138686133</v>
      </c>
    </row>
    <row r="7" spans="1:8" x14ac:dyDescent="0.25">
      <c r="A7">
        <v>600</v>
      </c>
      <c r="B7">
        <v>598.91999999999996</v>
      </c>
      <c r="C7">
        <v>32.47</v>
      </c>
      <c r="D7">
        <f t="shared" si="0"/>
        <v>18.44533415460425</v>
      </c>
      <c r="E7">
        <v>600</v>
      </c>
      <c r="F7">
        <v>600.77</v>
      </c>
      <c r="G7">
        <v>32.630000000000003</v>
      </c>
      <c r="H7">
        <f t="shared" si="1"/>
        <v>18.41158443150475</v>
      </c>
    </row>
    <row r="8" spans="1:8" x14ac:dyDescent="0.25">
      <c r="A8">
        <v>700</v>
      </c>
      <c r="B8">
        <v>697.93</v>
      </c>
      <c r="C8">
        <v>37.869999999999997</v>
      </c>
      <c r="D8">
        <f t="shared" si="0"/>
        <v>18.429627673620281</v>
      </c>
      <c r="E8">
        <v>700</v>
      </c>
      <c r="F8">
        <v>702.63</v>
      </c>
      <c r="G8">
        <v>38.11</v>
      </c>
      <c r="H8">
        <f t="shared" si="1"/>
        <v>18.436893203883496</v>
      </c>
    </row>
    <row r="9" spans="1:8" x14ac:dyDescent="0.25">
      <c r="A9">
        <v>800</v>
      </c>
      <c r="B9">
        <v>796.48</v>
      </c>
      <c r="C9">
        <v>43.22</v>
      </c>
      <c r="D9">
        <f t="shared" si="0"/>
        <v>18.428505321610366</v>
      </c>
      <c r="E9">
        <v>800</v>
      </c>
      <c r="F9">
        <v>801.49</v>
      </c>
      <c r="G9">
        <v>43.65</v>
      </c>
      <c r="H9">
        <f t="shared" si="1"/>
        <v>18.361741122565867</v>
      </c>
    </row>
    <row r="10" spans="1:8" x14ac:dyDescent="0.25">
      <c r="A10">
        <v>900</v>
      </c>
      <c r="B10">
        <v>895.49</v>
      </c>
      <c r="C10">
        <v>48.63</v>
      </c>
      <c r="D10">
        <f t="shared" si="0"/>
        <v>18.414353279868394</v>
      </c>
      <c r="E10">
        <v>900</v>
      </c>
      <c r="F10">
        <v>902.2</v>
      </c>
      <c r="G10">
        <v>49.14</v>
      </c>
      <c r="H10">
        <f t="shared" si="1"/>
        <v>18.359788359788361</v>
      </c>
    </row>
    <row r="11" spans="1:8" x14ac:dyDescent="0.25">
      <c r="A11">
        <v>1000</v>
      </c>
      <c r="B11">
        <v>994.5</v>
      </c>
      <c r="C11">
        <v>54.04</v>
      </c>
      <c r="D11">
        <f t="shared" si="0"/>
        <v>18.403034789045151</v>
      </c>
      <c r="E11">
        <v>1000</v>
      </c>
      <c r="F11">
        <v>1001.21</v>
      </c>
      <c r="G11">
        <v>54.57</v>
      </c>
      <c r="H11">
        <f t="shared" si="1"/>
        <v>18.347260399486899</v>
      </c>
    </row>
    <row r="12" spans="1:8" x14ac:dyDescent="0.25">
      <c r="A12">
        <v>1100</v>
      </c>
      <c r="B12">
        <v>1095.8900000000001</v>
      </c>
      <c r="C12">
        <v>59.53</v>
      </c>
      <c r="D12">
        <f t="shared" si="0"/>
        <v>18.409037460104152</v>
      </c>
      <c r="E12">
        <v>1100</v>
      </c>
      <c r="F12">
        <v>1100.6099999999999</v>
      </c>
      <c r="G12">
        <v>59.94</v>
      </c>
      <c r="H12">
        <f t="shared" si="1"/>
        <v>18.361861861861861</v>
      </c>
    </row>
    <row r="13" spans="1:8" x14ac:dyDescent="0.25">
      <c r="A13">
        <v>1200</v>
      </c>
      <c r="B13">
        <v>1195.99</v>
      </c>
      <c r="C13">
        <v>65.03</v>
      </c>
      <c r="D13">
        <f t="shared" si="0"/>
        <v>18.391357834845454</v>
      </c>
      <c r="E13">
        <v>1200</v>
      </c>
      <c r="F13">
        <v>1200.17</v>
      </c>
      <c r="G13">
        <v>65.430000000000007</v>
      </c>
      <c r="H13">
        <f t="shared" si="1"/>
        <v>18.342809108971419</v>
      </c>
    </row>
    <row r="14" spans="1:8" x14ac:dyDescent="0.25">
      <c r="A14">
        <v>1300</v>
      </c>
      <c r="B14">
        <v>1296.1500000000001</v>
      </c>
      <c r="C14">
        <v>70.510000000000005</v>
      </c>
      <c r="D14">
        <f t="shared" si="0"/>
        <v>18.382498936321088</v>
      </c>
      <c r="E14">
        <v>1300</v>
      </c>
      <c r="F14">
        <v>1302.94</v>
      </c>
      <c r="G14">
        <v>71.06</v>
      </c>
      <c r="H14">
        <f t="shared" si="1"/>
        <v>18.335772586546579</v>
      </c>
    </row>
    <row r="15" spans="1:8" x14ac:dyDescent="0.25">
      <c r="A15">
        <v>1400</v>
      </c>
      <c r="B15">
        <v>1395.39</v>
      </c>
      <c r="C15">
        <v>75.930000000000007</v>
      </c>
      <c r="D15">
        <f t="shared" si="0"/>
        <v>18.37732121691031</v>
      </c>
      <c r="E15">
        <v>1400</v>
      </c>
      <c r="F15">
        <v>1397.97</v>
      </c>
      <c r="G15">
        <v>76.37</v>
      </c>
      <c r="H15">
        <f t="shared" si="1"/>
        <v>18.305224564619614</v>
      </c>
    </row>
    <row r="16" spans="1:8" x14ac:dyDescent="0.25">
      <c r="A16">
        <v>1500</v>
      </c>
      <c r="B16">
        <v>1494.17</v>
      </c>
      <c r="C16">
        <v>81.319999999999993</v>
      </c>
      <c r="D16">
        <f t="shared" si="0"/>
        <v>18.373954746679786</v>
      </c>
      <c r="E16">
        <v>1500</v>
      </c>
      <c r="F16">
        <v>1501.13</v>
      </c>
      <c r="G16">
        <v>81.92</v>
      </c>
      <c r="H16">
        <f t="shared" si="1"/>
        <v>18.3243408203125</v>
      </c>
    </row>
    <row r="17" spans="1:8" x14ac:dyDescent="0.25">
      <c r="A17">
        <v>1600</v>
      </c>
      <c r="B17">
        <v>1597.12</v>
      </c>
      <c r="C17">
        <v>86.94</v>
      </c>
      <c r="D17">
        <f t="shared" si="0"/>
        <v>18.37037037037037</v>
      </c>
      <c r="E17">
        <v>1600</v>
      </c>
      <c r="F17">
        <v>1602.52</v>
      </c>
      <c r="G17">
        <v>87.46</v>
      </c>
      <c r="H17">
        <f t="shared" si="1"/>
        <v>18.322890464212211</v>
      </c>
    </row>
    <row r="18" spans="1:8" x14ac:dyDescent="0.25">
      <c r="A18">
        <v>1700</v>
      </c>
      <c r="B18">
        <v>1696.13</v>
      </c>
      <c r="C18">
        <v>92.34</v>
      </c>
      <c r="D18">
        <f t="shared" si="0"/>
        <v>18.368312757201647</v>
      </c>
      <c r="E18">
        <v>1700</v>
      </c>
      <c r="F18">
        <v>1702.31</v>
      </c>
      <c r="G18">
        <v>92.93</v>
      </c>
      <c r="H18">
        <f t="shared" si="1"/>
        <v>18.318196491983212</v>
      </c>
    </row>
    <row r="19" spans="1:8" x14ac:dyDescent="0.25">
      <c r="A19">
        <v>1800</v>
      </c>
      <c r="B19">
        <v>1796.99</v>
      </c>
      <c r="C19">
        <v>97.85</v>
      </c>
      <c r="D19">
        <f t="shared" si="0"/>
        <v>18.364741951967297</v>
      </c>
      <c r="E19">
        <v>1800</v>
      </c>
      <c r="F19">
        <v>1802.09</v>
      </c>
      <c r="G19">
        <v>98.43</v>
      </c>
      <c r="H19">
        <f t="shared" si="1"/>
        <v>18.308340952961494</v>
      </c>
    </row>
    <row r="20" spans="1:8" x14ac:dyDescent="0.25">
      <c r="A20">
        <v>1900</v>
      </c>
      <c r="B20">
        <v>1895.77</v>
      </c>
      <c r="C20">
        <v>103.25</v>
      </c>
      <c r="D20">
        <f t="shared" si="0"/>
        <v>18.36096852300242</v>
      </c>
      <c r="E20">
        <v>1900</v>
      </c>
      <c r="F20">
        <v>1904.17</v>
      </c>
      <c r="G20">
        <v>103.92</v>
      </c>
      <c r="H20">
        <f t="shared" si="1"/>
        <v>18.323421862971518</v>
      </c>
    </row>
    <row r="21" spans="1:8" x14ac:dyDescent="0.25">
      <c r="A21">
        <v>2000</v>
      </c>
      <c r="B21">
        <v>1995.93</v>
      </c>
      <c r="C21">
        <v>108.72</v>
      </c>
      <c r="D21">
        <f t="shared" si="0"/>
        <v>18.358443708609272</v>
      </c>
      <c r="E21">
        <v>2000</v>
      </c>
      <c r="F21">
        <v>2001.89</v>
      </c>
      <c r="G21">
        <v>109.35</v>
      </c>
      <c r="H21">
        <f t="shared" si="1"/>
        <v>18.307178783721994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E9B1-897D-41A0-9492-C20FC71C1B0F}">
  <dimension ref="A1:H21"/>
  <sheetViews>
    <sheetView workbookViewId="0">
      <selection activeCell="F37" sqref="F37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100</v>
      </c>
      <c r="B2">
        <v>99.01</v>
      </c>
      <c r="C2">
        <v>9.42</v>
      </c>
      <c r="D2">
        <f>B2/C2</f>
        <v>10.510615711252655</v>
      </c>
      <c r="E2">
        <v>100</v>
      </c>
      <c r="F2">
        <v>103.23</v>
      </c>
      <c r="G2">
        <v>9.5</v>
      </c>
      <c r="H2">
        <f>F2/G2</f>
        <v>10.866315789473685</v>
      </c>
    </row>
    <row r="3" spans="1:8" x14ac:dyDescent="0.25">
      <c r="A3">
        <v>200</v>
      </c>
      <c r="B3">
        <v>197.56</v>
      </c>
      <c r="C3">
        <v>19.04</v>
      </c>
      <c r="D3">
        <f t="shared" ref="D3:D21" si="0">B3/C3</f>
        <v>10.376050420168069</v>
      </c>
      <c r="E3">
        <v>200</v>
      </c>
      <c r="F3">
        <v>203.02</v>
      </c>
      <c r="G3">
        <v>19.5</v>
      </c>
      <c r="H3">
        <f t="shared" ref="H3:H21" si="1">F3/G3</f>
        <v>10.411282051282052</v>
      </c>
    </row>
    <row r="4" spans="1:8" x14ac:dyDescent="0.25">
      <c r="A4">
        <v>300</v>
      </c>
      <c r="B4">
        <v>297.95999999999998</v>
      </c>
      <c r="C4">
        <v>28.84</v>
      </c>
      <c r="D4">
        <f t="shared" si="0"/>
        <v>10.331484049930651</v>
      </c>
      <c r="E4">
        <v>300</v>
      </c>
      <c r="F4">
        <v>306.02</v>
      </c>
      <c r="G4">
        <v>29.65</v>
      </c>
      <c r="H4">
        <f t="shared" si="1"/>
        <v>10.321079258010117</v>
      </c>
    </row>
    <row r="5" spans="1:8" x14ac:dyDescent="0.25">
      <c r="A5">
        <v>400</v>
      </c>
      <c r="B5">
        <v>399.51</v>
      </c>
      <c r="C5">
        <v>38.770000000000003</v>
      </c>
      <c r="D5">
        <f t="shared" si="0"/>
        <v>10.304616971885478</v>
      </c>
      <c r="E5">
        <v>400</v>
      </c>
      <c r="F5">
        <v>406.49</v>
      </c>
      <c r="G5">
        <v>39.22</v>
      </c>
      <c r="H5">
        <f t="shared" si="1"/>
        <v>10.364354920958695</v>
      </c>
    </row>
    <row r="6" spans="1:8" x14ac:dyDescent="0.25">
      <c r="A6">
        <v>500</v>
      </c>
      <c r="B6">
        <v>498.52</v>
      </c>
      <c r="C6">
        <v>48.44</v>
      </c>
      <c r="D6">
        <f t="shared" si="0"/>
        <v>10.291494632535095</v>
      </c>
      <c r="E6">
        <v>500</v>
      </c>
      <c r="F6">
        <v>504.67</v>
      </c>
      <c r="G6">
        <v>48.99</v>
      </c>
      <c r="H6">
        <f t="shared" si="1"/>
        <v>10.301490100020413</v>
      </c>
    </row>
    <row r="7" spans="1:8" x14ac:dyDescent="0.25">
      <c r="A7">
        <v>600</v>
      </c>
      <c r="B7">
        <v>598.91999999999996</v>
      </c>
      <c r="C7">
        <v>58.24</v>
      </c>
      <c r="D7">
        <f t="shared" si="0"/>
        <v>10.283653846153845</v>
      </c>
      <c r="E7">
        <v>600</v>
      </c>
      <c r="F7">
        <v>600.77</v>
      </c>
      <c r="G7">
        <v>58.26</v>
      </c>
      <c r="H7">
        <f t="shared" si="1"/>
        <v>10.311877789220734</v>
      </c>
    </row>
    <row r="8" spans="1:8" x14ac:dyDescent="0.25">
      <c r="A8">
        <v>700</v>
      </c>
      <c r="B8">
        <v>697.93</v>
      </c>
      <c r="C8">
        <v>67.94</v>
      </c>
      <c r="D8">
        <f t="shared" si="0"/>
        <v>10.272740653517809</v>
      </c>
      <c r="E8">
        <v>700</v>
      </c>
      <c r="F8">
        <v>702.63</v>
      </c>
      <c r="G8">
        <v>68.16</v>
      </c>
      <c r="H8">
        <f t="shared" si="1"/>
        <v>10.308538732394366</v>
      </c>
    </row>
    <row r="9" spans="1:8" x14ac:dyDescent="0.25">
      <c r="A9">
        <v>800</v>
      </c>
      <c r="B9">
        <v>796.48</v>
      </c>
      <c r="C9">
        <v>77.56</v>
      </c>
      <c r="D9">
        <f t="shared" si="0"/>
        <v>10.269210933470861</v>
      </c>
      <c r="E9">
        <v>800</v>
      </c>
      <c r="F9">
        <v>801.49</v>
      </c>
      <c r="G9">
        <v>78.010000000000005</v>
      </c>
      <c r="H9">
        <f t="shared" si="1"/>
        <v>10.274195615946672</v>
      </c>
    </row>
    <row r="10" spans="1:8" x14ac:dyDescent="0.25">
      <c r="A10">
        <v>900</v>
      </c>
      <c r="B10">
        <v>895.49</v>
      </c>
      <c r="C10">
        <v>87.26</v>
      </c>
      <c r="D10">
        <f t="shared" si="0"/>
        <v>10.262319504927801</v>
      </c>
      <c r="E10">
        <v>900</v>
      </c>
      <c r="F10">
        <v>902.2</v>
      </c>
      <c r="G10">
        <v>89.91</v>
      </c>
      <c r="H10">
        <f t="shared" si="1"/>
        <v>10.034478923367812</v>
      </c>
    </row>
    <row r="11" spans="1:8" x14ac:dyDescent="0.25">
      <c r="A11">
        <v>1000</v>
      </c>
      <c r="B11">
        <v>994.5</v>
      </c>
      <c r="C11">
        <v>96.96</v>
      </c>
      <c r="D11">
        <f t="shared" si="0"/>
        <v>10.25680693069307</v>
      </c>
      <c r="E11">
        <v>1000</v>
      </c>
      <c r="F11">
        <v>1001.21</v>
      </c>
      <c r="G11">
        <v>97.49</v>
      </c>
      <c r="H11">
        <f t="shared" si="1"/>
        <v>10.269873833213664</v>
      </c>
    </row>
    <row r="12" spans="1:8" x14ac:dyDescent="0.25">
      <c r="A12">
        <v>1100</v>
      </c>
      <c r="B12">
        <v>1095.8900000000001</v>
      </c>
      <c r="C12">
        <v>106.81</v>
      </c>
      <c r="D12">
        <f t="shared" si="0"/>
        <v>10.260181630933435</v>
      </c>
      <c r="E12">
        <v>1100</v>
      </c>
      <c r="F12">
        <v>1100.6099999999999</v>
      </c>
      <c r="G12">
        <v>107.13</v>
      </c>
      <c r="H12">
        <f t="shared" si="1"/>
        <v>10.273592831139736</v>
      </c>
    </row>
    <row r="13" spans="1:8" x14ac:dyDescent="0.25">
      <c r="A13">
        <v>1200</v>
      </c>
      <c r="B13">
        <v>1195.99</v>
      </c>
      <c r="C13">
        <v>116.71</v>
      </c>
      <c r="D13">
        <f t="shared" si="0"/>
        <v>10.247536629251993</v>
      </c>
      <c r="E13">
        <v>1200</v>
      </c>
      <c r="F13">
        <v>1200.17</v>
      </c>
      <c r="G13">
        <v>116.93</v>
      </c>
      <c r="H13">
        <f t="shared" si="1"/>
        <v>10.264004105020097</v>
      </c>
    </row>
    <row r="14" spans="1:8" x14ac:dyDescent="0.25">
      <c r="A14">
        <v>1300</v>
      </c>
      <c r="B14">
        <v>1296.1500000000001</v>
      </c>
      <c r="C14">
        <v>126.5</v>
      </c>
      <c r="D14">
        <f t="shared" si="0"/>
        <v>10.246245059288539</v>
      </c>
      <c r="E14">
        <v>1300</v>
      </c>
      <c r="F14">
        <v>1302.94</v>
      </c>
      <c r="G14">
        <v>127.01</v>
      </c>
      <c r="H14">
        <f t="shared" si="1"/>
        <v>10.258562317927723</v>
      </c>
    </row>
    <row r="15" spans="1:8" x14ac:dyDescent="0.25">
      <c r="A15">
        <v>1400</v>
      </c>
      <c r="B15">
        <v>1395.39</v>
      </c>
      <c r="C15">
        <v>136.22999999999999</v>
      </c>
      <c r="D15">
        <f t="shared" si="0"/>
        <v>10.242898040079279</v>
      </c>
      <c r="E15">
        <v>1400</v>
      </c>
      <c r="F15">
        <v>1397.97</v>
      </c>
      <c r="G15">
        <v>136.6</v>
      </c>
      <c r="H15">
        <f t="shared" si="1"/>
        <v>10.234040995607614</v>
      </c>
    </row>
    <row r="16" spans="1:8" x14ac:dyDescent="0.25">
      <c r="A16">
        <v>1500</v>
      </c>
      <c r="B16">
        <v>1494.17</v>
      </c>
      <c r="C16">
        <v>145.9</v>
      </c>
      <c r="D16">
        <f t="shared" si="0"/>
        <v>10.241055517477724</v>
      </c>
      <c r="E16">
        <v>1500</v>
      </c>
      <c r="F16">
        <v>1501.13</v>
      </c>
      <c r="G16">
        <v>146.5</v>
      </c>
      <c r="H16">
        <f t="shared" si="1"/>
        <v>10.246621160409557</v>
      </c>
    </row>
    <row r="17" spans="1:8" x14ac:dyDescent="0.25">
      <c r="A17">
        <v>1600</v>
      </c>
      <c r="B17">
        <v>1597.12</v>
      </c>
      <c r="C17">
        <v>156</v>
      </c>
      <c r="D17">
        <f t="shared" si="0"/>
        <v>10.237948717948717</v>
      </c>
      <c r="E17">
        <v>1600</v>
      </c>
      <c r="F17">
        <v>1602.52</v>
      </c>
      <c r="G17">
        <v>156.35</v>
      </c>
      <c r="H17">
        <f t="shared" si="1"/>
        <v>10.249568276303167</v>
      </c>
    </row>
    <row r="18" spans="1:8" x14ac:dyDescent="0.25">
      <c r="A18">
        <v>1700</v>
      </c>
      <c r="B18">
        <v>1696.13</v>
      </c>
      <c r="C18">
        <v>165.67</v>
      </c>
      <c r="D18">
        <f t="shared" si="0"/>
        <v>10.238003259491762</v>
      </c>
      <c r="E18">
        <v>1700</v>
      </c>
      <c r="F18">
        <v>1702.31</v>
      </c>
      <c r="G18">
        <v>166.05</v>
      </c>
      <c r="H18">
        <f t="shared" si="1"/>
        <v>10.2517916290274</v>
      </c>
    </row>
    <row r="19" spans="1:8" x14ac:dyDescent="0.25">
      <c r="A19">
        <v>1800</v>
      </c>
      <c r="B19">
        <v>1796.99</v>
      </c>
      <c r="C19">
        <v>175.55</v>
      </c>
      <c r="D19">
        <f t="shared" si="0"/>
        <v>10.236342922244374</v>
      </c>
      <c r="E19">
        <v>1800</v>
      </c>
      <c r="F19">
        <v>1802.09</v>
      </c>
      <c r="G19">
        <v>176</v>
      </c>
      <c r="H19">
        <f t="shared" si="1"/>
        <v>10.239147727272726</v>
      </c>
    </row>
    <row r="20" spans="1:8" x14ac:dyDescent="0.25">
      <c r="A20">
        <v>1900</v>
      </c>
      <c r="B20">
        <v>1895.77</v>
      </c>
      <c r="C20">
        <v>185.22</v>
      </c>
      <c r="D20">
        <f t="shared" si="0"/>
        <v>10.235233776050103</v>
      </c>
      <c r="E20">
        <v>1900</v>
      </c>
      <c r="F20">
        <v>1904.17</v>
      </c>
      <c r="G20">
        <v>185.8</v>
      </c>
      <c r="H20">
        <f t="shared" si="1"/>
        <v>10.248493003229278</v>
      </c>
    </row>
    <row r="21" spans="1:8" x14ac:dyDescent="0.25">
      <c r="A21">
        <v>2000</v>
      </c>
      <c r="B21">
        <v>1995.93</v>
      </c>
      <c r="C21">
        <v>195.05</v>
      </c>
      <c r="D21">
        <f t="shared" si="0"/>
        <v>10.232914637272494</v>
      </c>
      <c r="E21">
        <v>2000</v>
      </c>
      <c r="F21">
        <v>2001.89</v>
      </c>
      <c r="G21">
        <v>195.47</v>
      </c>
      <c r="H21">
        <f t="shared" si="1"/>
        <v>10.241418120427687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92AC-774B-441C-BDD2-E721FCFB4FCD}">
  <dimension ref="A1:L22"/>
  <sheetViews>
    <sheetView workbookViewId="0">
      <selection activeCell="D33" sqref="D33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9</v>
      </c>
      <c r="D1" t="s">
        <v>2</v>
      </c>
      <c r="F1" t="s">
        <v>3</v>
      </c>
      <c r="G1" t="s">
        <v>4</v>
      </c>
      <c r="H1" t="s">
        <v>5</v>
      </c>
      <c r="I1" t="s">
        <v>8</v>
      </c>
      <c r="J1" t="s">
        <v>6</v>
      </c>
      <c r="K1" t="s">
        <v>7</v>
      </c>
    </row>
    <row r="2" spans="1:12" x14ac:dyDescent="0.25">
      <c r="A2">
        <v>100</v>
      </c>
      <c r="B2">
        <v>99.01</v>
      </c>
      <c r="C2">
        <v>102</v>
      </c>
      <c r="D2">
        <v>0.1</v>
      </c>
      <c r="E2">
        <f>C2-A2</f>
        <v>2</v>
      </c>
      <c r="F2">
        <f>B2/D2</f>
        <v>990.1</v>
      </c>
      <c r="G2">
        <v>100</v>
      </c>
      <c r="H2">
        <v>103.23</v>
      </c>
      <c r="I2">
        <v>104</v>
      </c>
      <c r="J2">
        <v>0.33</v>
      </c>
      <c r="K2">
        <f>H2/J2</f>
        <v>312.81818181818181</v>
      </c>
      <c r="L2">
        <f>I2-G2</f>
        <v>4</v>
      </c>
    </row>
    <row r="3" spans="1:12" x14ac:dyDescent="0.25">
      <c r="A3">
        <v>200</v>
      </c>
      <c r="B3">
        <v>197.56</v>
      </c>
      <c r="C3">
        <v>197</v>
      </c>
      <c r="D3">
        <v>0.98</v>
      </c>
      <c r="E3">
        <f t="shared" ref="E3:E22" si="0">C3-A3</f>
        <v>-3</v>
      </c>
      <c r="F3">
        <f t="shared" ref="F3:F22" si="1">B3/D3</f>
        <v>201.59183673469389</v>
      </c>
      <c r="G3">
        <v>200</v>
      </c>
      <c r="H3">
        <v>203.02</v>
      </c>
      <c r="I3">
        <v>201</v>
      </c>
      <c r="J3">
        <v>1.26</v>
      </c>
      <c r="K3">
        <f t="shared" ref="K3:K22" si="2">H3/J3</f>
        <v>161.12698412698413</v>
      </c>
      <c r="L3">
        <f t="shared" ref="L3:L22" si="3">I3-G3</f>
        <v>1</v>
      </c>
    </row>
    <row r="4" spans="1:12" x14ac:dyDescent="0.25">
      <c r="A4">
        <v>400</v>
      </c>
      <c r="B4">
        <v>399.51</v>
      </c>
      <c r="C4">
        <v>394</v>
      </c>
      <c r="D4">
        <v>2.76</v>
      </c>
      <c r="E4">
        <f t="shared" si="0"/>
        <v>-6</v>
      </c>
      <c r="F4">
        <f t="shared" si="1"/>
        <v>144.75</v>
      </c>
      <c r="G4">
        <v>400</v>
      </c>
      <c r="H4">
        <v>405.8</v>
      </c>
      <c r="I4">
        <v>398</v>
      </c>
      <c r="J4">
        <v>3.02</v>
      </c>
      <c r="K4">
        <f t="shared" si="2"/>
        <v>134.37086092715231</v>
      </c>
      <c r="L4">
        <f t="shared" si="3"/>
        <v>-2</v>
      </c>
    </row>
    <row r="5" spans="1:12" x14ac:dyDescent="0.25">
      <c r="A5">
        <v>600</v>
      </c>
      <c r="B5">
        <v>598.91999999999996</v>
      </c>
      <c r="C5">
        <v>587</v>
      </c>
      <c r="D5">
        <v>4.5</v>
      </c>
      <c r="E5">
        <f t="shared" si="0"/>
        <v>-13</v>
      </c>
      <c r="F5">
        <f t="shared" si="1"/>
        <v>133.09333333333333</v>
      </c>
      <c r="G5">
        <v>600</v>
      </c>
      <c r="H5">
        <v>600.57000000000005</v>
      </c>
      <c r="I5">
        <v>589</v>
      </c>
      <c r="J5">
        <v>4.8499999999999996</v>
      </c>
      <c r="K5">
        <f t="shared" si="2"/>
        <v>123.82886597938146</v>
      </c>
      <c r="L5">
        <f t="shared" si="3"/>
        <v>-11</v>
      </c>
    </row>
    <row r="6" spans="1:12" x14ac:dyDescent="0.25">
      <c r="A6">
        <v>800</v>
      </c>
      <c r="B6">
        <v>796.24</v>
      </c>
      <c r="C6">
        <v>778</v>
      </c>
      <c r="D6">
        <v>6.23</v>
      </c>
      <c r="E6">
        <f t="shared" si="0"/>
        <v>-22</v>
      </c>
      <c r="F6">
        <f t="shared" si="1"/>
        <v>127.80738362760835</v>
      </c>
      <c r="G6">
        <v>800</v>
      </c>
      <c r="H6">
        <v>801.95</v>
      </c>
      <c r="I6">
        <v>784</v>
      </c>
      <c r="J6">
        <v>6.76</v>
      </c>
      <c r="K6">
        <f t="shared" si="2"/>
        <v>118.63165680473374</v>
      </c>
      <c r="L6">
        <f t="shared" si="3"/>
        <v>-16</v>
      </c>
    </row>
    <row r="7" spans="1:12" x14ac:dyDescent="0.25">
      <c r="A7">
        <v>1000</v>
      </c>
      <c r="B7">
        <v>994.27</v>
      </c>
      <c r="C7">
        <v>970</v>
      </c>
      <c r="D7">
        <v>7.96</v>
      </c>
      <c r="E7">
        <f t="shared" si="0"/>
        <v>-30</v>
      </c>
      <c r="F7">
        <f t="shared" si="1"/>
        <v>124.90829145728642</v>
      </c>
      <c r="G7">
        <v>1000</v>
      </c>
      <c r="H7">
        <v>1001.75</v>
      </c>
      <c r="I7">
        <v>978</v>
      </c>
      <c r="J7">
        <v>8.42</v>
      </c>
      <c r="K7">
        <f t="shared" si="2"/>
        <v>118.97268408551069</v>
      </c>
      <c r="L7">
        <f t="shared" si="3"/>
        <v>-22</v>
      </c>
    </row>
    <row r="8" spans="1:12" x14ac:dyDescent="0.25">
      <c r="A8">
        <v>1200</v>
      </c>
      <c r="B8">
        <v>1195.99</v>
      </c>
      <c r="C8">
        <v>1165</v>
      </c>
      <c r="D8">
        <v>9.75</v>
      </c>
      <c r="E8">
        <f t="shared" si="0"/>
        <v>-35</v>
      </c>
      <c r="F8">
        <f t="shared" si="1"/>
        <v>122.66564102564102</v>
      </c>
      <c r="G8">
        <v>1200</v>
      </c>
      <c r="H8">
        <v>1200.6300000000001</v>
      </c>
      <c r="I8">
        <v>1171</v>
      </c>
      <c r="J8">
        <v>10.63</v>
      </c>
      <c r="K8">
        <f t="shared" si="2"/>
        <v>112.94731890874883</v>
      </c>
      <c r="L8">
        <f t="shared" si="3"/>
        <v>-29</v>
      </c>
    </row>
    <row r="9" spans="1:12" x14ac:dyDescent="0.25">
      <c r="A9">
        <v>1400</v>
      </c>
      <c r="B9">
        <v>1395.39</v>
      </c>
      <c r="C9">
        <v>1358</v>
      </c>
      <c r="D9">
        <v>11.48</v>
      </c>
      <c r="E9">
        <f t="shared" si="0"/>
        <v>-42</v>
      </c>
      <c r="F9">
        <f t="shared" si="1"/>
        <v>121.54965156794425</v>
      </c>
      <c r="G9">
        <v>1400</v>
      </c>
      <c r="H9">
        <v>1400.43</v>
      </c>
      <c r="I9">
        <v>1366</v>
      </c>
      <c r="J9">
        <v>12.44</v>
      </c>
      <c r="K9">
        <f t="shared" si="2"/>
        <v>112.57475884244374</v>
      </c>
      <c r="L9">
        <f t="shared" si="3"/>
        <v>-34</v>
      </c>
    </row>
    <row r="10" spans="1:12" x14ac:dyDescent="0.25">
      <c r="A10">
        <v>1600</v>
      </c>
      <c r="B10">
        <v>1597.12</v>
      </c>
      <c r="C10">
        <v>1553</v>
      </c>
      <c r="D10">
        <v>13.27</v>
      </c>
      <c r="E10">
        <f t="shared" si="0"/>
        <v>-47</v>
      </c>
      <c r="F10">
        <f t="shared" si="1"/>
        <v>120.35568952524491</v>
      </c>
      <c r="G10">
        <v>1600</v>
      </c>
      <c r="H10">
        <v>1602.75</v>
      </c>
      <c r="I10">
        <v>1561</v>
      </c>
      <c r="J10">
        <v>14.3</v>
      </c>
      <c r="K10">
        <f t="shared" si="2"/>
        <v>112.08041958041957</v>
      </c>
      <c r="L10">
        <f t="shared" si="3"/>
        <v>-39</v>
      </c>
    </row>
    <row r="11" spans="1:12" x14ac:dyDescent="0.25">
      <c r="A11">
        <v>1800</v>
      </c>
      <c r="B11">
        <v>1796.99</v>
      </c>
      <c r="C11">
        <v>1747</v>
      </c>
      <c r="D11">
        <v>15.05</v>
      </c>
      <c r="E11">
        <f t="shared" si="0"/>
        <v>-53</v>
      </c>
      <c r="F11">
        <f t="shared" si="1"/>
        <v>119.40132890365447</v>
      </c>
      <c r="G11">
        <v>1800</v>
      </c>
      <c r="H11">
        <v>1802.09</v>
      </c>
      <c r="I11">
        <v>1756</v>
      </c>
      <c r="J11">
        <v>16.16</v>
      </c>
      <c r="K11">
        <f t="shared" si="2"/>
        <v>111.51547029702969</v>
      </c>
      <c r="L11">
        <f t="shared" si="3"/>
        <v>-44</v>
      </c>
    </row>
    <row r="12" spans="1:12" x14ac:dyDescent="0.25">
      <c r="A12">
        <v>2000</v>
      </c>
      <c r="B12">
        <v>1995.93</v>
      </c>
      <c r="C12">
        <v>1939</v>
      </c>
      <c r="D12">
        <v>16.78</v>
      </c>
      <c r="E12">
        <f t="shared" si="0"/>
        <v>-61</v>
      </c>
      <c r="F12">
        <f t="shared" si="1"/>
        <v>118.94696066746125</v>
      </c>
      <c r="G12">
        <v>2000</v>
      </c>
      <c r="H12">
        <v>2001.66</v>
      </c>
      <c r="I12">
        <v>1950</v>
      </c>
      <c r="J12">
        <v>17.989999999999998</v>
      </c>
      <c r="K12">
        <f t="shared" si="2"/>
        <v>111.26514730405782</v>
      </c>
      <c r="L12">
        <f t="shared" si="3"/>
        <v>-50</v>
      </c>
    </row>
    <row r="13" spans="1:12" x14ac:dyDescent="0.25">
      <c r="A13">
        <v>2200</v>
      </c>
      <c r="B13">
        <v>2196.0300000000002</v>
      </c>
      <c r="C13">
        <v>2133</v>
      </c>
      <c r="D13">
        <v>18.54</v>
      </c>
      <c r="E13">
        <f t="shared" si="0"/>
        <v>-67</v>
      </c>
      <c r="F13">
        <f t="shared" si="1"/>
        <v>118.44822006472494</v>
      </c>
      <c r="G13">
        <v>2200</v>
      </c>
      <c r="H13">
        <v>2201.15</v>
      </c>
      <c r="I13">
        <v>2144</v>
      </c>
      <c r="J13">
        <v>19.75</v>
      </c>
      <c r="K13">
        <f t="shared" si="2"/>
        <v>111.4506329113924</v>
      </c>
      <c r="L13">
        <f t="shared" si="3"/>
        <v>-56</v>
      </c>
    </row>
    <row r="14" spans="1:12" x14ac:dyDescent="0.25">
      <c r="A14">
        <v>2400</v>
      </c>
      <c r="B14">
        <v>2393.36</v>
      </c>
      <c r="C14">
        <v>2324</v>
      </c>
      <c r="D14">
        <v>20.3</v>
      </c>
      <c r="E14">
        <f t="shared" si="0"/>
        <v>-76</v>
      </c>
      <c r="F14">
        <f t="shared" si="1"/>
        <v>117.89950738916257</v>
      </c>
      <c r="G14">
        <v>2400</v>
      </c>
      <c r="H14">
        <v>2402.41</v>
      </c>
      <c r="I14">
        <v>2339</v>
      </c>
      <c r="J14">
        <v>21.76</v>
      </c>
      <c r="K14">
        <f t="shared" si="2"/>
        <v>110.40487132352939</v>
      </c>
      <c r="L14">
        <f t="shared" si="3"/>
        <v>-61</v>
      </c>
    </row>
    <row r="15" spans="1:12" x14ac:dyDescent="0.25">
      <c r="A15">
        <v>2600</v>
      </c>
      <c r="B15">
        <v>2593.23</v>
      </c>
      <c r="C15">
        <v>2517</v>
      </c>
      <c r="D15">
        <v>22.08</v>
      </c>
      <c r="E15">
        <f t="shared" si="0"/>
        <v>-83</v>
      </c>
      <c r="F15">
        <f t="shared" si="1"/>
        <v>117.44701086956523</v>
      </c>
      <c r="G15">
        <v>2600</v>
      </c>
      <c r="H15">
        <v>2601.7399999999998</v>
      </c>
      <c r="I15">
        <v>2532</v>
      </c>
      <c r="J15">
        <v>23.59</v>
      </c>
      <c r="K15">
        <f t="shared" si="2"/>
        <v>110.28995337007206</v>
      </c>
      <c r="L15">
        <f t="shared" si="3"/>
        <v>-68</v>
      </c>
    </row>
    <row r="16" spans="1:12" x14ac:dyDescent="0.25">
      <c r="A16">
        <v>2800</v>
      </c>
      <c r="B16">
        <v>2793.1</v>
      </c>
      <c r="C16">
        <v>2710</v>
      </c>
      <c r="D16">
        <v>23.84</v>
      </c>
      <c r="E16">
        <f t="shared" si="0"/>
        <v>-90</v>
      </c>
      <c r="F16">
        <f t="shared" si="1"/>
        <v>117.16023489932886</v>
      </c>
      <c r="G16">
        <v>2800</v>
      </c>
      <c r="H16">
        <v>2804.76</v>
      </c>
      <c r="I16">
        <v>2726</v>
      </c>
      <c r="J16">
        <v>25.33</v>
      </c>
      <c r="K16">
        <f t="shared" si="2"/>
        <v>110.7287801026451</v>
      </c>
      <c r="L16">
        <f t="shared" si="3"/>
        <v>-74</v>
      </c>
    </row>
    <row r="17" spans="1:12" x14ac:dyDescent="0.25">
      <c r="A17">
        <v>3000</v>
      </c>
      <c r="B17">
        <v>2991.59</v>
      </c>
      <c r="C17">
        <v>2902</v>
      </c>
      <c r="D17">
        <v>25.58</v>
      </c>
      <c r="E17">
        <f t="shared" si="0"/>
        <v>-98</v>
      </c>
      <c r="F17">
        <f t="shared" si="1"/>
        <v>116.95035183737296</v>
      </c>
      <c r="G17">
        <v>3000</v>
      </c>
      <c r="H17">
        <v>2985.57</v>
      </c>
      <c r="I17">
        <v>2921</v>
      </c>
      <c r="J17">
        <v>27.41</v>
      </c>
      <c r="K17">
        <f t="shared" si="2"/>
        <v>108.92265596497629</v>
      </c>
      <c r="L17">
        <f t="shared" si="3"/>
        <v>-79</v>
      </c>
    </row>
    <row r="18" spans="1:12" x14ac:dyDescent="0.25">
      <c r="A18">
        <v>3200</v>
      </c>
      <c r="B18">
        <v>3182.67</v>
      </c>
      <c r="C18">
        <v>3086</v>
      </c>
      <c r="D18">
        <v>27.26</v>
      </c>
      <c r="E18">
        <f t="shared" si="0"/>
        <v>-114</v>
      </c>
      <c r="F18">
        <f t="shared" si="1"/>
        <v>116.75238444607483</v>
      </c>
      <c r="G18">
        <v>3200</v>
      </c>
      <c r="H18">
        <v>3204.59</v>
      </c>
      <c r="I18">
        <v>3112</v>
      </c>
      <c r="J18">
        <v>29.32</v>
      </c>
      <c r="K18">
        <f t="shared" si="2"/>
        <v>109.29706684856754</v>
      </c>
      <c r="L18">
        <f t="shared" si="3"/>
        <v>-88</v>
      </c>
    </row>
    <row r="19" spans="1:12" x14ac:dyDescent="0.25">
      <c r="A19">
        <v>3400</v>
      </c>
      <c r="B19">
        <v>3383.46</v>
      </c>
      <c r="C19">
        <v>3280</v>
      </c>
      <c r="D19">
        <v>29.07</v>
      </c>
      <c r="E19">
        <f t="shared" si="0"/>
        <v>-120</v>
      </c>
      <c r="F19">
        <f t="shared" si="1"/>
        <v>116.39009287925697</v>
      </c>
      <c r="G19">
        <v>3400</v>
      </c>
      <c r="H19">
        <v>3407.83</v>
      </c>
      <c r="I19">
        <v>3307</v>
      </c>
      <c r="J19">
        <v>31.16</v>
      </c>
      <c r="K19">
        <f t="shared" si="2"/>
        <v>109.36553273427471</v>
      </c>
      <c r="L19">
        <f t="shared" si="3"/>
        <v>-93</v>
      </c>
    </row>
    <row r="20" spans="1:12" x14ac:dyDescent="0.25">
      <c r="A20">
        <v>3600</v>
      </c>
      <c r="B20">
        <v>3582.87</v>
      </c>
      <c r="C20">
        <v>3473</v>
      </c>
      <c r="D20">
        <v>30.83</v>
      </c>
      <c r="E20">
        <f t="shared" si="0"/>
        <v>-127</v>
      </c>
      <c r="F20">
        <f t="shared" si="1"/>
        <v>116.21375283814467</v>
      </c>
      <c r="G20">
        <v>3600</v>
      </c>
      <c r="H20">
        <v>3607.63</v>
      </c>
      <c r="I20">
        <v>3500</v>
      </c>
      <c r="J20">
        <v>32.99</v>
      </c>
      <c r="K20">
        <f t="shared" si="2"/>
        <v>109.35525916944529</v>
      </c>
      <c r="L20">
        <f t="shared" si="3"/>
        <v>-100</v>
      </c>
    </row>
    <row r="21" spans="1:12" x14ac:dyDescent="0.25">
      <c r="A21">
        <v>3800</v>
      </c>
      <c r="B21">
        <v>3783.44</v>
      </c>
      <c r="C21">
        <v>3666</v>
      </c>
      <c r="D21">
        <v>32.56</v>
      </c>
      <c r="E21">
        <f t="shared" si="0"/>
        <v>-134</v>
      </c>
      <c r="F21">
        <f t="shared" si="1"/>
        <v>116.19901719901719</v>
      </c>
      <c r="G21">
        <v>3800</v>
      </c>
      <c r="H21">
        <v>3811.11</v>
      </c>
      <c r="I21">
        <v>3694</v>
      </c>
      <c r="J21">
        <v>34.85</v>
      </c>
      <c r="K21">
        <f t="shared" si="2"/>
        <v>109.35753228120517</v>
      </c>
      <c r="L21">
        <f t="shared" si="3"/>
        <v>-106</v>
      </c>
    </row>
    <row r="22" spans="1:12" x14ac:dyDescent="0.25">
      <c r="A22">
        <v>4000</v>
      </c>
      <c r="B22">
        <v>3979.14</v>
      </c>
      <c r="C22">
        <v>3855</v>
      </c>
      <c r="D22">
        <v>34.299999999999997</v>
      </c>
      <c r="E22">
        <f t="shared" si="0"/>
        <v>-145</v>
      </c>
      <c r="F22">
        <f t="shared" si="1"/>
        <v>116.00991253644315</v>
      </c>
      <c r="G22">
        <v>4000</v>
      </c>
      <c r="H22">
        <v>4012.52</v>
      </c>
      <c r="I22">
        <v>3889</v>
      </c>
      <c r="J22">
        <v>36.68</v>
      </c>
      <c r="K22">
        <f t="shared" si="2"/>
        <v>109.39258451472192</v>
      </c>
      <c r="L22">
        <f t="shared" si="3"/>
        <v>-111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9A1A-BBE5-4C97-A9FA-1C26AD5394C2}">
  <dimension ref="A1:M22"/>
  <sheetViews>
    <sheetView tabSelected="1" zoomScale="150" workbookViewId="0">
      <selection activeCell="E25" sqref="E25"/>
    </sheetView>
  </sheetViews>
  <sheetFormatPr defaultRowHeight="15" x14ac:dyDescent="0.25"/>
  <cols>
    <col min="1" max="1" width="6" bestFit="1" customWidth="1"/>
    <col min="2" max="2" width="8" bestFit="1" customWidth="1"/>
    <col min="3" max="3" width="6.7109375" bestFit="1" customWidth="1"/>
    <col min="4" max="4" width="6.5703125" bestFit="1" customWidth="1"/>
    <col min="5" max="5" width="12.7109375" customWidth="1"/>
    <col min="6" max="6" width="11.7109375" bestFit="1" customWidth="1"/>
    <col min="7" max="7" width="12" bestFit="1" customWidth="1"/>
    <col min="8" max="8" width="5.7109375" bestFit="1" customWidth="1"/>
    <col min="9" max="9" width="8" bestFit="1" customWidth="1"/>
    <col min="10" max="10" width="6.42578125" bestFit="1" customWidth="1"/>
    <col min="11" max="11" width="6.28515625" bestFit="1" customWidth="1"/>
    <col min="12" max="12" width="12" bestFit="1" customWidth="1"/>
    <col min="13" max="13" width="11.7109375" bestFit="1" customWidth="1"/>
  </cols>
  <sheetData>
    <row r="1" spans="1:13" x14ac:dyDescent="0.25">
      <c r="A1" t="s">
        <v>0</v>
      </c>
      <c r="B1" t="s">
        <v>1</v>
      </c>
      <c r="C1" t="s">
        <v>9</v>
      </c>
      <c r="D1" t="s">
        <v>2</v>
      </c>
      <c r="E1" t="s">
        <v>11</v>
      </c>
      <c r="F1" t="s">
        <v>10</v>
      </c>
      <c r="G1" t="s">
        <v>3</v>
      </c>
      <c r="H1" t="s">
        <v>4</v>
      </c>
      <c r="I1" t="s">
        <v>5</v>
      </c>
      <c r="J1" t="s">
        <v>8</v>
      </c>
      <c r="K1" t="s">
        <v>6</v>
      </c>
      <c r="L1" t="s">
        <v>7</v>
      </c>
      <c r="M1" t="s">
        <v>10</v>
      </c>
    </row>
    <row r="2" spans="1:13" x14ac:dyDescent="0.25">
      <c r="A2">
        <v>100</v>
      </c>
      <c r="B2">
        <v>99.01</v>
      </c>
      <c r="C2">
        <v>101</v>
      </c>
      <c r="D2">
        <v>0.23</v>
      </c>
      <c r="E2">
        <f>A2*0.9954+1.77</f>
        <v>101.30999999999999</v>
      </c>
      <c r="F2">
        <f>C2-A2</f>
        <v>1</v>
      </c>
      <c r="G2">
        <f>B2/D2</f>
        <v>430.47826086956525</v>
      </c>
      <c r="H2">
        <v>100</v>
      </c>
      <c r="I2">
        <v>103</v>
      </c>
      <c r="J2">
        <v>102</v>
      </c>
      <c r="K2">
        <v>0.57999999999999996</v>
      </c>
      <c r="L2">
        <f>I2/K2</f>
        <v>177.58620689655174</v>
      </c>
      <c r="M2">
        <f>J2-H2</f>
        <v>2</v>
      </c>
    </row>
    <row r="3" spans="1:13" x14ac:dyDescent="0.25">
      <c r="A3">
        <v>200</v>
      </c>
      <c r="B3">
        <v>197.56</v>
      </c>
      <c r="C3">
        <v>197</v>
      </c>
      <c r="D3">
        <v>1.1100000000000001</v>
      </c>
      <c r="E3">
        <f t="shared" ref="E3:E22" si="0">A3*0.9954+1.77</f>
        <v>200.85</v>
      </c>
      <c r="F3">
        <f t="shared" ref="F3:F22" si="1">C3-A3</f>
        <v>-3</v>
      </c>
      <c r="G3">
        <f t="shared" ref="G3:G22" si="2">B3/D3</f>
        <v>177.98198198198196</v>
      </c>
      <c r="H3">
        <v>200</v>
      </c>
      <c r="I3">
        <v>203.02</v>
      </c>
      <c r="J3">
        <v>199</v>
      </c>
      <c r="K3">
        <v>1.48</v>
      </c>
      <c r="L3">
        <f t="shared" ref="L3:L22" si="3">I3/K3</f>
        <v>137.17567567567568</v>
      </c>
      <c r="M3">
        <f t="shared" ref="M3:M22" si="4">J3-H3</f>
        <v>-1</v>
      </c>
    </row>
    <row r="4" spans="1:13" x14ac:dyDescent="0.25">
      <c r="A4">
        <v>400</v>
      </c>
      <c r="B4">
        <v>399.51</v>
      </c>
      <c r="C4">
        <v>393</v>
      </c>
      <c r="D4">
        <v>2.86</v>
      </c>
      <c r="E4">
        <f t="shared" si="0"/>
        <v>399.92999999999995</v>
      </c>
      <c r="F4">
        <f t="shared" si="1"/>
        <v>-7</v>
      </c>
      <c r="G4">
        <f t="shared" si="2"/>
        <v>139.6888111888112</v>
      </c>
      <c r="H4">
        <v>400</v>
      </c>
      <c r="I4">
        <v>406.49</v>
      </c>
      <c r="J4">
        <v>396</v>
      </c>
      <c r="K4">
        <v>3.32</v>
      </c>
      <c r="L4">
        <f t="shared" si="3"/>
        <v>122.43674698795182</v>
      </c>
      <c r="M4">
        <f t="shared" si="4"/>
        <v>-4</v>
      </c>
    </row>
    <row r="5" spans="1:13" x14ac:dyDescent="0.25">
      <c r="A5">
        <v>600</v>
      </c>
      <c r="B5">
        <v>598.91999999999996</v>
      </c>
      <c r="C5">
        <v>586</v>
      </c>
      <c r="D5">
        <v>4.62</v>
      </c>
      <c r="E5">
        <f t="shared" si="0"/>
        <v>599.01</v>
      </c>
      <c r="F5">
        <f t="shared" si="1"/>
        <v>-14</v>
      </c>
      <c r="G5">
        <f t="shared" si="2"/>
        <v>129.63636363636363</v>
      </c>
      <c r="H5">
        <v>600</v>
      </c>
      <c r="I5">
        <v>600.54</v>
      </c>
      <c r="J5">
        <v>587</v>
      </c>
      <c r="K5">
        <v>5.0999999999999996</v>
      </c>
      <c r="L5">
        <f t="shared" si="3"/>
        <v>117.75294117647059</v>
      </c>
      <c r="M5">
        <f t="shared" si="4"/>
        <v>-13</v>
      </c>
    </row>
    <row r="6" spans="1:13" x14ac:dyDescent="0.25">
      <c r="A6">
        <v>800</v>
      </c>
      <c r="B6">
        <v>796.24</v>
      </c>
      <c r="C6">
        <v>777</v>
      </c>
      <c r="D6">
        <v>6.36</v>
      </c>
      <c r="E6">
        <f t="shared" si="0"/>
        <v>798.08999999999992</v>
      </c>
      <c r="F6">
        <f t="shared" si="1"/>
        <v>-23</v>
      </c>
      <c r="G6">
        <f t="shared" si="2"/>
        <v>125.19496855345912</v>
      </c>
      <c r="H6">
        <v>800</v>
      </c>
      <c r="I6">
        <v>801.72</v>
      </c>
      <c r="J6">
        <v>781</v>
      </c>
      <c r="K6">
        <v>6.93</v>
      </c>
      <c r="L6">
        <f t="shared" si="3"/>
        <v>115.6883116883117</v>
      </c>
      <c r="M6">
        <f t="shared" si="4"/>
        <v>-19</v>
      </c>
    </row>
    <row r="7" spans="1:13" x14ac:dyDescent="0.25">
      <c r="A7">
        <v>1000</v>
      </c>
      <c r="B7">
        <v>994.27</v>
      </c>
      <c r="C7">
        <v>969</v>
      </c>
      <c r="D7">
        <v>8.14</v>
      </c>
      <c r="E7">
        <f t="shared" si="0"/>
        <v>997.17</v>
      </c>
      <c r="F7">
        <f t="shared" si="1"/>
        <v>-31</v>
      </c>
      <c r="G7">
        <f t="shared" si="2"/>
        <v>122.14619164619164</v>
      </c>
      <c r="H7">
        <v>1000</v>
      </c>
      <c r="I7">
        <v>1001.98</v>
      </c>
      <c r="J7">
        <v>975</v>
      </c>
      <c r="K7">
        <v>8.74</v>
      </c>
      <c r="L7">
        <f t="shared" si="3"/>
        <v>114.64302059496568</v>
      </c>
      <c r="M7">
        <f t="shared" si="4"/>
        <v>-25</v>
      </c>
    </row>
    <row r="8" spans="1:13" x14ac:dyDescent="0.25">
      <c r="A8">
        <v>1200</v>
      </c>
      <c r="B8">
        <v>1195.76</v>
      </c>
      <c r="C8">
        <v>1164</v>
      </c>
      <c r="D8">
        <v>9.8699999999999992</v>
      </c>
      <c r="E8">
        <f t="shared" si="0"/>
        <v>1196.25</v>
      </c>
      <c r="F8">
        <f t="shared" si="1"/>
        <v>-36</v>
      </c>
      <c r="G8">
        <f t="shared" si="2"/>
        <v>121.15096251266465</v>
      </c>
      <c r="H8">
        <v>1200</v>
      </c>
      <c r="I8">
        <v>1200.4000000000001</v>
      </c>
      <c r="J8">
        <v>1169</v>
      </c>
      <c r="K8">
        <v>10.78</v>
      </c>
      <c r="L8">
        <f t="shared" si="3"/>
        <v>111.35435992578851</v>
      </c>
      <c r="M8">
        <f t="shared" si="4"/>
        <v>-31</v>
      </c>
    </row>
    <row r="9" spans="1:13" x14ac:dyDescent="0.25">
      <c r="A9">
        <v>1400</v>
      </c>
      <c r="B9">
        <v>1395.39</v>
      </c>
      <c r="C9">
        <v>1357</v>
      </c>
      <c r="D9">
        <v>11.63</v>
      </c>
      <c r="E9">
        <f t="shared" si="0"/>
        <v>1395.33</v>
      </c>
      <c r="F9">
        <f t="shared" si="1"/>
        <v>-43</v>
      </c>
      <c r="G9">
        <f t="shared" si="2"/>
        <v>119.98194325021497</v>
      </c>
      <c r="H9">
        <v>1400</v>
      </c>
      <c r="I9">
        <v>1400.66</v>
      </c>
      <c r="J9">
        <v>1363</v>
      </c>
      <c r="K9">
        <v>12.71</v>
      </c>
      <c r="L9">
        <f t="shared" si="3"/>
        <v>110.20141620771047</v>
      </c>
      <c r="M9">
        <f t="shared" si="4"/>
        <v>-37</v>
      </c>
    </row>
    <row r="10" spans="1:13" x14ac:dyDescent="0.25">
      <c r="A10">
        <v>1600</v>
      </c>
      <c r="B10">
        <v>1597.12</v>
      </c>
      <c r="C10">
        <v>1552</v>
      </c>
      <c r="D10">
        <v>13.44</v>
      </c>
      <c r="E10">
        <f t="shared" si="0"/>
        <v>1594.4099999999999</v>
      </c>
      <c r="F10">
        <f t="shared" si="1"/>
        <v>-48</v>
      </c>
      <c r="G10">
        <f t="shared" si="2"/>
        <v>118.83333333333333</v>
      </c>
      <c r="H10">
        <v>1600</v>
      </c>
      <c r="I10">
        <v>1602.75</v>
      </c>
      <c r="J10">
        <v>1559</v>
      </c>
      <c r="K10">
        <v>14.65</v>
      </c>
      <c r="L10">
        <f t="shared" si="3"/>
        <v>109.40273037542661</v>
      </c>
      <c r="M10">
        <f t="shared" si="4"/>
        <v>-41</v>
      </c>
    </row>
    <row r="11" spans="1:13" x14ac:dyDescent="0.25">
      <c r="A11">
        <v>1800</v>
      </c>
      <c r="B11">
        <v>1796.76</v>
      </c>
      <c r="C11">
        <v>1745</v>
      </c>
      <c r="D11">
        <v>15.23</v>
      </c>
      <c r="E11">
        <f t="shared" si="0"/>
        <v>1793.4899999999998</v>
      </c>
      <c r="F11">
        <f t="shared" si="1"/>
        <v>-55</v>
      </c>
      <c r="G11">
        <f t="shared" si="2"/>
        <v>117.97504924491136</v>
      </c>
      <c r="H11">
        <v>1800</v>
      </c>
      <c r="I11">
        <v>1801.32</v>
      </c>
      <c r="J11">
        <v>1753</v>
      </c>
      <c r="K11">
        <v>16.510000000000002</v>
      </c>
      <c r="L11">
        <f t="shared" si="3"/>
        <v>109.10478497880071</v>
      </c>
      <c r="M11">
        <f t="shared" si="4"/>
        <v>-47</v>
      </c>
    </row>
    <row r="12" spans="1:13" x14ac:dyDescent="0.25">
      <c r="A12">
        <v>2000</v>
      </c>
      <c r="B12">
        <v>1995.93</v>
      </c>
      <c r="C12">
        <v>1938</v>
      </c>
      <c r="D12">
        <v>16.98</v>
      </c>
      <c r="E12">
        <f t="shared" si="0"/>
        <v>1992.57</v>
      </c>
      <c r="F12">
        <f t="shared" si="1"/>
        <v>-62</v>
      </c>
      <c r="G12">
        <f t="shared" si="2"/>
        <v>117.54593639575972</v>
      </c>
      <c r="H12">
        <v>2000</v>
      </c>
      <c r="I12">
        <v>2001.89</v>
      </c>
      <c r="J12">
        <v>1947</v>
      </c>
      <c r="K12">
        <v>18.29</v>
      </c>
      <c r="L12">
        <f t="shared" si="3"/>
        <v>109.45270639693823</v>
      </c>
      <c r="M12">
        <f t="shared" si="4"/>
        <v>-53</v>
      </c>
    </row>
    <row r="13" spans="1:13" x14ac:dyDescent="0.25">
      <c r="A13">
        <v>2200</v>
      </c>
      <c r="B13">
        <v>2196.0300000000002</v>
      </c>
      <c r="C13">
        <v>2131</v>
      </c>
      <c r="D13">
        <v>18.72</v>
      </c>
      <c r="E13">
        <f t="shared" si="0"/>
        <v>2191.65</v>
      </c>
      <c r="F13">
        <f t="shared" si="1"/>
        <v>-69</v>
      </c>
      <c r="G13">
        <f t="shared" si="2"/>
        <v>117.30929487179489</v>
      </c>
      <c r="H13">
        <v>2200</v>
      </c>
      <c r="I13">
        <v>2201.69</v>
      </c>
      <c r="J13">
        <v>2140</v>
      </c>
      <c r="K13">
        <v>20.13</v>
      </c>
      <c r="L13">
        <f t="shared" si="3"/>
        <v>109.37357178340785</v>
      </c>
      <c r="M13">
        <f t="shared" si="4"/>
        <v>-60</v>
      </c>
    </row>
    <row r="14" spans="1:13" x14ac:dyDescent="0.25">
      <c r="A14">
        <v>2400</v>
      </c>
      <c r="B14">
        <v>2393.36</v>
      </c>
      <c r="C14">
        <v>2322</v>
      </c>
      <c r="D14">
        <v>20.48</v>
      </c>
      <c r="E14">
        <f t="shared" si="0"/>
        <v>2390.73</v>
      </c>
      <c r="F14">
        <f t="shared" si="1"/>
        <v>-78</v>
      </c>
      <c r="G14">
        <f t="shared" si="2"/>
        <v>116.86328125</v>
      </c>
      <c r="H14">
        <v>2400</v>
      </c>
      <c r="I14">
        <v>2402.41</v>
      </c>
      <c r="J14">
        <v>2335</v>
      </c>
      <c r="K14">
        <v>22.16</v>
      </c>
      <c r="L14">
        <f t="shared" si="3"/>
        <v>108.4120036101083</v>
      </c>
      <c r="M14">
        <f t="shared" si="4"/>
        <v>-65</v>
      </c>
    </row>
    <row r="15" spans="1:13" x14ac:dyDescent="0.25">
      <c r="A15">
        <v>2600</v>
      </c>
      <c r="B15">
        <v>2593.23</v>
      </c>
      <c r="C15">
        <v>2514</v>
      </c>
      <c r="D15">
        <v>22.34</v>
      </c>
      <c r="E15">
        <f t="shared" si="0"/>
        <v>2589.81</v>
      </c>
      <c r="F15">
        <f t="shared" si="1"/>
        <v>-86</v>
      </c>
      <c r="G15">
        <f t="shared" si="2"/>
        <v>116.08012533572068</v>
      </c>
      <c r="H15">
        <v>2600</v>
      </c>
      <c r="I15">
        <v>2601.5100000000002</v>
      </c>
      <c r="J15">
        <v>2528</v>
      </c>
      <c r="K15">
        <v>24.02</v>
      </c>
      <c r="L15">
        <f t="shared" si="3"/>
        <v>108.30599500416321</v>
      </c>
      <c r="M15">
        <f t="shared" si="4"/>
        <v>-72</v>
      </c>
    </row>
    <row r="16" spans="1:13" x14ac:dyDescent="0.25">
      <c r="A16">
        <v>2800</v>
      </c>
      <c r="B16">
        <v>2793.1</v>
      </c>
      <c r="C16">
        <v>2707</v>
      </c>
      <c r="D16">
        <v>24.15</v>
      </c>
      <c r="E16">
        <f t="shared" si="0"/>
        <v>2788.89</v>
      </c>
      <c r="F16">
        <f t="shared" si="1"/>
        <v>-93</v>
      </c>
      <c r="G16">
        <f t="shared" si="2"/>
        <v>115.65631469979296</v>
      </c>
      <c r="H16">
        <v>2800</v>
      </c>
      <c r="I16">
        <v>2804.45</v>
      </c>
      <c r="J16">
        <v>2722</v>
      </c>
      <c r="K16">
        <v>25.85</v>
      </c>
      <c r="L16">
        <f t="shared" si="3"/>
        <v>108.48936170212765</v>
      </c>
      <c r="M16">
        <f t="shared" si="4"/>
        <v>-78</v>
      </c>
    </row>
    <row r="17" spans="1:13" x14ac:dyDescent="0.25">
      <c r="A17">
        <v>3000</v>
      </c>
      <c r="B17">
        <v>2991.59</v>
      </c>
      <c r="C17">
        <v>2899</v>
      </c>
      <c r="D17">
        <v>25.93</v>
      </c>
      <c r="E17">
        <f t="shared" si="0"/>
        <v>2987.97</v>
      </c>
      <c r="F17">
        <f t="shared" si="1"/>
        <v>-101</v>
      </c>
      <c r="G17">
        <f t="shared" si="2"/>
        <v>115.37177015040494</v>
      </c>
      <c r="H17">
        <v>3000</v>
      </c>
      <c r="I17">
        <v>3006.86</v>
      </c>
      <c r="J17">
        <v>2916</v>
      </c>
      <c r="K17">
        <v>27.99</v>
      </c>
      <c r="L17">
        <f t="shared" si="3"/>
        <v>107.42622365130404</v>
      </c>
      <c r="M17">
        <f t="shared" si="4"/>
        <v>-84</v>
      </c>
    </row>
    <row r="18" spans="1:13" x14ac:dyDescent="0.25">
      <c r="A18">
        <v>3200</v>
      </c>
      <c r="B18">
        <v>3182.67</v>
      </c>
      <c r="C18">
        <v>3083</v>
      </c>
      <c r="D18">
        <v>27.64</v>
      </c>
      <c r="E18">
        <f t="shared" si="0"/>
        <v>3187.0499999999997</v>
      </c>
      <c r="F18">
        <f t="shared" si="1"/>
        <v>-117</v>
      </c>
      <c r="G18">
        <f t="shared" si="2"/>
        <v>115.14725036179451</v>
      </c>
      <c r="H18">
        <v>3200</v>
      </c>
      <c r="I18">
        <v>3204.36</v>
      </c>
      <c r="J18">
        <v>3107</v>
      </c>
      <c r="K18">
        <v>29.82</v>
      </c>
      <c r="L18">
        <f t="shared" si="3"/>
        <v>107.45674044265594</v>
      </c>
      <c r="M18">
        <f t="shared" si="4"/>
        <v>-93</v>
      </c>
    </row>
    <row r="19" spans="1:13" x14ac:dyDescent="0.25">
      <c r="A19">
        <v>3400</v>
      </c>
      <c r="B19">
        <v>3383.46</v>
      </c>
      <c r="C19">
        <v>3277</v>
      </c>
      <c r="D19">
        <v>29.42</v>
      </c>
      <c r="E19">
        <f t="shared" si="0"/>
        <v>3386.1299999999997</v>
      </c>
      <c r="F19">
        <f t="shared" si="1"/>
        <v>-123</v>
      </c>
      <c r="G19">
        <f t="shared" si="2"/>
        <v>115.00543847722638</v>
      </c>
      <c r="H19">
        <v>3400</v>
      </c>
      <c r="I19">
        <v>3407.6</v>
      </c>
      <c r="J19">
        <v>3301</v>
      </c>
      <c r="K19">
        <v>31.71</v>
      </c>
      <c r="L19">
        <f t="shared" si="3"/>
        <v>107.46136865342163</v>
      </c>
      <c r="M19">
        <f t="shared" si="4"/>
        <v>-99</v>
      </c>
    </row>
    <row r="20" spans="1:13" x14ac:dyDescent="0.25">
      <c r="A20">
        <v>3600</v>
      </c>
      <c r="B20">
        <v>3582.87</v>
      </c>
      <c r="C20">
        <v>3469</v>
      </c>
      <c r="D20">
        <v>31.21</v>
      </c>
      <c r="E20">
        <f t="shared" si="0"/>
        <v>3585.2099999999996</v>
      </c>
      <c r="F20">
        <f t="shared" si="1"/>
        <v>-131</v>
      </c>
      <c r="G20">
        <f t="shared" si="2"/>
        <v>114.79878244152515</v>
      </c>
      <c r="H20">
        <v>3600</v>
      </c>
      <c r="I20">
        <v>3608.09</v>
      </c>
      <c r="J20">
        <v>3494</v>
      </c>
      <c r="K20">
        <v>33.619999999999997</v>
      </c>
      <c r="L20">
        <f t="shared" si="3"/>
        <v>107.31975014872101</v>
      </c>
      <c r="M20">
        <f t="shared" si="4"/>
        <v>-106</v>
      </c>
    </row>
    <row r="21" spans="1:13" x14ac:dyDescent="0.25">
      <c r="A21">
        <v>3800</v>
      </c>
      <c r="B21">
        <v>3783.2</v>
      </c>
      <c r="C21">
        <v>3662</v>
      </c>
      <c r="D21">
        <v>32.99</v>
      </c>
      <c r="E21">
        <f t="shared" si="0"/>
        <v>3784.29</v>
      </c>
      <c r="F21">
        <f t="shared" si="1"/>
        <v>-138</v>
      </c>
      <c r="G21">
        <f t="shared" si="2"/>
        <v>114.67717490148529</v>
      </c>
      <c r="H21">
        <v>3800</v>
      </c>
      <c r="I21">
        <v>3811.8</v>
      </c>
      <c r="J21">
        <v>3688</v>
      </c>
      <c r="K21">
        <v>35.5</v>
      </c>
      <c r="L21">
        <f t="shared" si="3"/>
        <v>107.37464788732395</v>
      </c>
      <c r="M21">
        <f t="shared" si="4"/>
        <v>-112</v>
      </c>
    </row>
    <row r="22" spans="1:13" x14ac:dyDescent="0.25">
      <c r="A22">
        <v>4000</v>
      </c>
      <c r="B22">
        <v>3978</v>
      </c>
      <c r="C22">
        <v>3851</v>
      </c>
      <c r="D22">
        <v>34.72</v>
      </c>
      <c r="E22">
        <f t="shared" si="0"/>
        <v>3983.37</v>
      </c>
      <c r="F22">
        <f t="shared" si="1"/>
        <v>-149</v>
      </c>
      <c r="G22">
        <f t="shared" si="2"/>
        <v>114.57373271889401</v>
      </c>
      <c r="H22">
        <v>4000</v>
      </c>
      <c r="I22">
        <v>4012.6</v>
      </c>
      <c r="J22">
        <v>3881</v>
      </c>
      <c r="K22">
        <v>37.409999999999997</v>
      </c>
      <c r="L22">
        <f t="shared" si="3"/>
        <v>107.26009088479017</v>
      </c>
      <c r="M22">
        <f t="shared" si="4"/>
        <v>-119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29B00-8127-42B1-9239-5F6FAC3885BB}">
  <dimension ref="A1:K21"/>
  <sheetViews>
    <sheetView workbookViewId="0">
      <selection activeCell="C2" sqref="C2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9</v>
      </c>
      <c r="D1" t="s">
        <v>2</v>
      </c>
      <c r="F1" t="s">
        <v>3</v>
      </c>
      <c r="G1" t="s">
        <v>4</v>
      </c>
      <c r="H1" t="s">
        <v>5</v>
      </c>
      <c r="I1" t="s">
        <v>8</v>
      </c>
      <c r="J1" t="s">
        <v>6</v>
      </c>
      <c r="K1" t="s">
        <v>7</v>
      </c>
    </row>
    <row r="2" spans="1:11" x14ac:dyDescent="0.25">
      <c r="A2">
        <v>200</v>
      </c>
      <c r="B2">
        <v>198.25</v>
      </c>
      <c r="C2">
        <v>205</v>
      </c>
      <c r="D2">
        <v>1.08</v>
      </c>
      <c r="G2">
        <v>200</v>
      </c>
    </row>
    <row r="3" spans="1:11" x14ac:dyDescent="0.25">
      <c r="A3">
        <v>400</v>
      </c>
      <c r="B3">
        <v>399.64</v>
      </c>
      <c r="C3">
        <v>406</v>
      </c>
      <c r="D3">
        <v>2.89</v>
      </c>
      <c r="G3">
        <v>400</v>
      </c>
    </row>
    <row r="4" spans="1:11" x14ac:dyDescent="0.25">
      <c r="A4">
        <v>600</v>
      </c>
      <c r="B4">
        <v>597.11</v>
      </c>
      <c r="C4">
        <v>605</v>
      </c>
      <c r="D4">
        <v>4.7</v>
      </c>
      <c r="G4">
        <v>600</v>
      </c>
    </row>
    <row r="5" spans="1:11" x14ac:dyDescent="0.25">
      <c r="A5">
        <v>800</v>
      </c>
      <c r="B5">
        <v>796.14</v>
      </c>
      <c r="C5">
        <v>804</v>
      </c>
      <c r="D5">
        <v>6.51</v>
      </c>
      <c r="G5">
        <v>800</v>
      </c>
    </row>
    <row r="6" spans="1:11" x14ac:dyDescent="0.25">
      <c r="A6">
        <v>1000</v>
      </c>
      <c r="B6">
        <v>995.06</v>
      </c>
      <c r="C6">
        <v>1003</v>
      </c>
      <c r="D6">
        <v>8.2899999999999991</v>
      </c>
      <c r="G6">
        <v>1000</v>
      </c>
    </row>
    <row r="7" spans="1:11" x14ac:dyDescent="0.25">
      <c r="A7">
        <v>1200</v>
      </c>
      <c r="B7">
        <v>1195.55</v>
      </c>
      <c r="C7">
        <v>1204</v>
      </c>
      <c r="D7">
        <v>10.1</v>
      </c>
      <c r="G7">
        <v>1200</v>
      </c>
    </row>
    <row r="8" spans="1:11" x14ac:dyDescent="0.25">
      <c r="A8">
        <v>1400</v>
      </c>
      <c r="B8">
        <v>1394.92</v>
      </c>
      <c r="C8">
        <v>1403</v>
      </c>
      <c r="D8">
        <v>11.91</v>
      </c>
      <c r="G8">
        <v>1400</v>
      </c>
    </row>
    <row r="9" spans="1:11" x14ac:dyDescent="0.25">
      <c r="A9">
        <v>1600</v>
      </c>
      <c r="B9">
        <v>1597.98</v>
      </c>
      <c r="C9">
        <v>1606</v>
      </c>
      <c r="D9">
        <v>13.77</v>
      </c>
      <c r="G9">
        <v>1600</v>
      </c>
    </row>
    <row r="10" spans="1:11" x14ac:dyDescent="0.25">
      <c r="A10">
        <v>1800</v>
      </c>
      <c r="B10">
        <v>1796.13</v>
      </c>
      <c r="C10">
        <v>1805</v>
      </c>
      <c r="D10">
        <v>15.55</v>
      </c>
      <c r="G10">
        <v>1800</v>
      </c>
    </row>
    <row r="11" spans="1:11" x14ac:dyDescent="0.25">
      <c r="A11">
        <v>2000</v>
      </c>
      <c r="B11">
        <v>1995.95</v>
      </c>
      <c r="C11">
        <v>2004</v>
      </c>
      <c r="D11">
        <v>17.39</v>
      </c>
      <c r="G11">
        <v>2000</v>
      </c>
    </row>
    <row r="12" spans="1:11" x14ac:dyDescent="0.25">
      <c r="A12">
        <v>2200</v>
      </c>
      <c r="B12">
        <v>2196.21</v>
      </c>
      <c r="C12">
        <v>2204</v>
      </c>
      <c r="D12">
        <v>19.22</v>
      </c>
      <c r="G12">
        <v>2200</v>
      </c>
    </row>
    <row r="13" spans="1:11" x14ac:dyDescent="0.25">
      <c r="A13">
        <v>2400</v>
      </c>
      <c r="B13">
        <v>2392.9</v>
      </c>
      <c r="C13">
        <v>2401</v>
      </c>
      <c r="D13">
        <v>21</v>
      </c>
      <c r="G13">
        <v>2400</v>
      </c>
    </row>
    <row r="14" spans="1:11" x14ac:dyDescent="0.25">
      <c r="A14">
        <v>2600</v>
      </c>
      <c r="B14">
        <v>2592.4899999999998</v>
      </c>
      <c r="C14">
        <v>2600</v>
      </c>
      <c r="D14">
        <v>22.84</v>
      </c>
      <c r="G14">
        <v>2600</v>
      </c>
    </row>
    <row r="15" spans="1:11" x14ac:dyDescent="0.25">
      <c r="A15">
        <v>2800</v>
      </c>
      <c r="B15">
        <v>2792.53</v>
      </c>
      <c r="C15">
        <v>2754</v>
      </c>
      <c r="D15">
        <v>24.67</v>
      </c>
      <c r="G15">
        <v>2800</v>
      </c>
    </row>
    <row r="16" spans="1:11" x14ac:dyDescent="0.25">
      <c r="A16">
        <v>3000</v>
      </c>
      <c r="B16">
        <v>2984.07</v>
      </c>
      <c r="C16">
        <v>2691</v>
      </c>
      <c r="D16">
        <v>23.42</v>
      </c>
      <c r="G16">
        <v>3000</v>
      </c>
    </row>
    <row r="17" spans="1:7" x14ac:dyDescent="0.25">
      <c r="A17">
        <v>3200</v>
      </c>
      <c r="B17">
        <v>3184.34</v>
      </c>
      <c r="C17">
        <v>2892</v>
      </c>
      <c r="D17">
        <v>25.28</v>
      </c>
      <c r="G17">
        <v>3200</v>
      </c>
    </row>
    <row r="18" spans="1:7" x14ac:dyDescent="0.25">
      <c r="A18">
        <v>3400</v>
      </c>
      <c r="B18">
        <v>3383.04</v>
      </c>
      <c r="C18">
        <v>3094</v>
      </c>
      <c r="D18">
        <v>27.11</v>
      </c>
      <c r="G18">
        <v>3400</v>
      </c>
    </row>
    <row r="19" spans="1:7" x14ac:dyDescent="0.25">
      <c r="A19">
        <v>3600</v>
      </c>
      <c r="B19">
        <v>3583.98</v>
      </c>
      <c r="C19">
        <v>3297</v>
      </c>
      <c r="D19">
        <v>28.97</v>
      </c>
      <c r="G19">
        <v>3600</v>
      </c>
    </row>
    <row r="20" spans="1:7" x14ac:dyDescent="0.25">
      <c r="A20">
        <v>3800</v>
      </c>
      <c r="B20">
        <v>3781.33</v>
      </c>
      <c r="C20">
        <v>3494</v>
      </c>
      <c r="D20">
        <v>30.78</v>
      </c>
      <c r="G20">
        <v>3800</v>
      </c>
    </row>
    <row r="21" spans="1:7" x14ac:dyDescent="0.25">
      <c r="A21">
        <v>4000</v>
      </c>
      <c r="B21">
        <v>3981.15</v>
      </c>
      <c r="C21">
        <v>3690</v>
      </c>
      <c r="D21">
        <v>32.590000000000003</v>
      </c>
      <c r="G21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Sheet3</vt:lpstr>
      <vt:lpstr>Sheet4</vt:lpstr>
      <vt:lpstr>Sheet6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Jenit Jain</cp:lastModifiedBy>
  <dcterms:created xsi:type="dcterms:W3CDTF">2015-06-05T18:17:20Z</dcterms:created>
  <dcterms:modified xsi:type="dcterms:W3CDTF">2026-10-27T12:34:01Z</dcterms:modified>
</cp:coreProperties>
</file>